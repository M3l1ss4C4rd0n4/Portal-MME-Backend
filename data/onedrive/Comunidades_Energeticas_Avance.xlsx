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minenergiacol-my.sharepoint.com/personal/comunidadesenergeticas_minenergia_gov_co/Documents/2026/Proyectos Tipo 2025/"/>
    </mc:Choice>
  </mc:AlternateContent>
  <xr:revisionPtr revIDLastSave="527" documentId="8_{ADDED116-B34A-468F-85FE-D4940D1B3006}" xr6:coauthVersionLast="47" xr6:coauthVersionMax="47" xr10:uidLastSave="{C8FA9ADE-601F-4372-9018-9EE6D16D5D12}"/>
  <bookViews>
    <workbookView xWindow="-108" yWindow="-108" windowWidth="23256" windowHeight="12456" xr2:uid="{E72AAA95-314E-4888-BAAF-1576E64567FC}"/>
  </bookViews>
  <sheets>
    <sheet name="Hoja1" sheetId="1" r:id="rId1"/>
    <sheet name="Hoja2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41" i="1"/>
  <c r="E11" i="1"/>
  <c r="E45" i="1"/>
  <c r="G3" i="1"/>
  <c r="E3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G2" i="1"/>
  <c r="E12" i="1"/>
  <c r="E13" i="1"/>
  <c r="E14" i="1"/>
  <c r="E15" i="1"/>
  <c r="E16" i="1"/>
  <c r="E25" i="1"/>
  <c r="E26" i="1"/>
  <c r="E29" i="1"/>
  <c r="E30" i="1"/>
  <c r="E31" i="1"/>
  <c r="E32" i="1"/>
  <c r="E33" i="1"/>
  <c r="E34" i="1"/>
  <c r="E35" i="1"/>
  <c r="E36" i="1"/>
  <c r="E44" i="1"/>
  <c r="E50" i="1"/>
  <c r="E27" i="1"/>
  <c r="E28" i="1"/>
  <c r="E47" i="1"/>
  <c r="E37" i="1"/>
  <c r="E38" i="1"/>
  <c r="E17" i="1"/>
  <c r="E48" i="1"/>
  <c r="E39" i="1"/>
  <c r="E40" i="1"/>
  <c r="E18" i="1"/>
  <c r="E19" i="1"/>
  <c r="E20" i="1"/>
  <c r="E49" i="1"/>
  <c r="E42" i="1"/>
  <c r="E9" i="1"/>
  <c r="E21" i="1"/>
  <c r="E22" i="1"/>
  <c r="E23" i="1"/>
  <c r="E24" i="1"/>
  <c r="E46" i="1"/>
  <c r="L2" i="1" l="1"/>
  <c r="E10" i="1"/>
  <c r="E2" i="1"/>
  <c r="G7" i="1"/>
  <c r="E7" i="1" s="1"/>
  <c r="G4" i="1"/>
  <c r="F4" i="1"/>
  <c r="G6" i="1"/>
  <c r="F6" i="1"/>
  <c r="G5" i="1"/>
  <c r="F5" i="1"/>
  <c r="F8" i="1"/>
</calcChain>
</file>

<file path=xl/sharedStrings.xml><?xml version="1.0" encoding="utf-8"?>
<sst xmlns="http://schemas.openxmlformats.org/spreadsheetml/2006/main" count="335" uniqueCount="65">
  <si>
    <t>PT</t>
  </si>
  <si>
    <t>PROYECTO</t>
  </si>
  <si>
    <t>NOMBRE DEL PRODUCTO</t>
  </si>
  <si>
    <t>COMPONENTE</t>
  </si>
  <si>
    <t>PORCENTAJE DE AVANCE</t>
  </si>
  <si>
    <t>Fecha 50 %</t>
  </si>
  <si>
    <t>Fecha 75 %</t>
  </si>
  <si>
    <t>Fecha 100 %</t>
  </si>
  <si>
    <t>FECHA Estimada de Entrega</t>
  </si>
  <si>
    <t>Asignación Actividad</t>
  </si>
  <si>
    <t>RESPONSABLE</t>
  </si>
  <si>
    <t>Fecha ultima entrega</t>
  </si>
  <si>
    <t>Solución eólica de 1 kW conectada a red sin almacenamiento</t>
  </si>
  <si>
    <t>Guia Plan de Manejo Ambiental</t>
  </si>
  <si>
    <t>Componente Ambiental</t>
  </si>
  <si>
    <t>Yeimy Niño</t>
  </si>
  <si>
    <t>Jose Rangel</t>
  </si>
  <si>
    <t>Formato _análisis de riesgos</t>
  </si>
  <si>
    <t>Solución eólica de 1kW aislada con almacenamiento</t>
  </si>
  <si>
    <t>Infraestructura de carga para movilidad eléctrica conectado a red</t>
  </si>
  <si>
    <t>Juliana Camargo</t>
  </si>
  <si>
    <t>Infraestructura de carga para movilidad eléctrica en zona no interconectada</t>
  </si>
  <si>
    <t>Implementación de sistemas solares fotovoltaicos flotantes (SSFV - Flotante)</t>
  </si>
  <si>
    <t>Alejandor Moya</t>
  </si>
  <si>
    <t/>
  </si>
  <si>
    <t>Anexo 1 plano xxxx</t>
  </si>
  <si>
    <t>Componente Civil</t>
  </si>
  <si>
    <t>Daniel Royero</t>
  </si>
  <si>
    <t>Edgardo Vergara</t>
  </si>
  <si>
    <t>APU civil</t>
  </si>
  <si>
    <t>Guia estructuracion comp civil</t>
  </si>
  <si>
    <t>Edna Perdomo</t>
  </si>
  <si>
    <t>Sara Gonzalez</t>
  </si>
  <si>
    <t>Formato memorias de calculo</t>
  </si>
  <si>
    <t>Componente Eléctrico</t>
  </si>
  <si>
    <t>Sandra Vargas</t>
  </si>
  <si>
    <t>Jesús Tovar</t>
  </si>
  <si>
    <t>Anexo 2 Plano xxxxx</t>
  </si>
  <si>
    <t>Daniel Torres</t>
  </si>
  <si>
    <t>Hermes Zapata</t>
  </si>
  <si>
    <t>Modelo de la metodologia ajustada</t>
  </si>
  <si>
    <t>Componente Mga - Guia Metodologica</t>
  </si>
  <si>
    <t>Cristhian Camilo Paredes</t>
  </si>
  <si>
    <t>Guia de estructuración PT</t>
  </si>
  <si>
    <t>cuerpos</t>
  </si>
  <si>
    <t>de</t>
  </si>
  <si>
    <t>agua</t>
  </si>
  <si>
    <t>artificiales</t>
  </si>
  <si>
    <t xml:space="preserve">Presupuesto General </t>
  </si>
  <si>
    <t>Componente Presupuestal</t>
  </si>
  <si>
    <t>NOMBRE DE LA ACTIVIDAD</t>
  </si>
  <si>
    <t xml:space="preserve"> % AVANCE</t>
  </si>
  <si>
    <t>FECHA DE ENTREGA</t>
  </si>
  <si>
    <t>COMPONENTE AMBIENTAL</t>
  </si>
  <si>
    <t>Guia Caracterización Ambiental</t>
  </si>
  <si>
    <t>COMPONENTE CIVIL</t>
  </si>
  <si>
    <t>COMPONENTE ELÉCTRICO</t>
  </si>
  <si>
    <t>Anexo 2</t>
  </si>
  <si>
    <t>COMPONENTE PRESUPUESTAL</t>
  </si>
  <si>
    <t xml:space="preserve">Presupuesto flujo de fondos </t>
  </si>
  <si>
    <t>Analisis flujo de fondos</t>
  </si>
  <si>
    <t>COMPONENTE MGA - GUIA METODOLOGICA</t>
  </si>
  <si>
    <t>Presupuesto de referencia</t>
  </si>
  <si>
    <t>Modelo de sostenibilidad</t>
  </si>
  <si>
    <t>Solicitud-determinacion-procedencia-oportunidad-consulta-previa-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</si>
</sst>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justify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0" fillId="0" borderId="0" xfId="0" applyNumberFormat="1"/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justify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justify"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0" fillId="0" borderId="7" xfId="0" applyNumberFormat="1" applyBorder="1"/>
    <xf numFmtId="164" fontId="0" fillId="0" borderId="7" xfId="0" applyNumberFormat="1" applyBorder="1" applyAlignment="1">
      <alignment horizontal="center" vertical="center"/>
    </xf>
    <xf numFmtId="164" fontId="0" fillId="0" borderId="5" xfId="0" applyNumberFormat="1" applyBorder="1"/>
    <xf numFmtId="164" fontId="0" fillId="0" borderId="5" xfId="0" applyNumberFormat="1" applyBorder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4" fontId="0" fillId="0" borderId="7" xfId="0" applyNumberFormat="1" applyBorder="1" applyAlignment="1">
      <alignment wrapText="1"/>
    </xf>
    <xf numFmtId="14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6">
    <dxf>
      <numFmt numFmtId="164" formatCode="yyyy\-mm\-dd;@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D19E5-6EE8-482B-9F23-3D0BCED9DAC7}" name="Seg_Proyectos_Tipo" displayName="Seg_Proyectos_Tipo" ref="A1:L52" totalsRowShown="0" headerRowDxfId="15" headerRowBorderDxfId="13" tableBorderDxfId="14" totalsRowBorderDxfId="12">
  <autoFilter ref="A1:L52" xr:uid="{41CD19E5-6EE8-482B-9F23-3D0BCED9DAC7}"/>
  <tableColumns count="12">
    <tableColumn id="1" xr3:uid="{AA413A7E-958D-4AEC-A67D-3DFE4A48DB6A}" name="PT" dataDxfId="11"/>
    <tableColumn id="2" xr3:uid="{71BE77D2-F32B-40BB-82E7-00A57EB60BF3}" name="PROYECTO" dataDxfId="10"/>
    <tableColumn id="3" xr3:uid="{DD2A65D5-AA96-4446-A6C3-3E5D4D450F54}" name="NOMBRE DEL PRODUCTO" dataDxfId="9"/>
    <tableColumn id="4" xr3:uid="{2141CE63-75B7-468F-AF28-60066B2265EF}" name="COMPONENTE" dataDxfId="8"/>
    <tableColumn id="5" xr3:uid="{C57CFB52-8572-4C33-8A75-3538C60C1DCE}" name="PORCENTAJE DE AVANCE" dataDxfId="7">
      <calculatedColumnFormula>+IF(COUNTA(Seg_Proyectos_Tipo[[#This Row],[Fecha 50 %]:[Fecha 100 %]])=3,1,IF(COUNTA(Seg_Proyectos_Tipo[[#This Row],[Fecha 50 %]:[Fecha 100 %]])=2,0.75,IF(COUNTA(Seg_Proyectos_Tipo[[#This Row],[Fecha 50 %]:[Fecha 100 %]])=1,0.5,0)))</calculatedColumnFormula>
    </tableColumn>
    <tableColumn id="6" xr3:uid="{910B6F72-DB52-4707-926B-B03FF56578E5}" name="Fecha 50 %" dataDxfId="6"/>
    <tableColumn id="7" xr3:uid="{4141D224-2354-47F5-A825-F2A28B1E7355}" name="Fecha 75 %" dataDxfId="5">
      <calculatedColumnFormula>+Seg_Proyectos_Tipo[[#This Row],[Fecha 50 %]]+2</calculatedColumnFormula>
    </tableColumn>
    <tableColumn id="8" xr3:uid="{18006AEC-AC5A-415B-A546-F35A482FDBA3}" name="Fecha 100 %" dataDxfId="4"/>
    <tableColumn id="9" xr3:uid="{1270C901-1D6C-482A-9AE4-71B8621B59F3}" name="FECHA Estimada de Entrega" dataDxfId="3"/>
    <tableColumn id="12" xr3:uid="{732DD4E7-FFEB-42EF-99D7-9B1C9D5B0ED8}" name="Asignación Actividad" dataDxfId="2"/>
    <tableColumn id="10" xr3:uid="{D14EDBC0-A606-43EB-9724-DF4947CE1671}" name="RESPONSABLE" dataDxfId="1"/>
    <tableColumn id="13" xr3:uid="{FC88803C-B2B4-4546-823C-A61BAA3B70D1}" name="Fecha ultima entrega" dataDxfId="0">
      <calculatedColumnFormula>+IF(AND(ISNUMBER(H2),H2&gt;DATE(1900,2,1)),H2,IF(AND(ISNUMBER(G2),G2&gt;DATE(1900,2,1)),G2,IF(AND(ISNUMBER(F2),F2&gt;DATE(1900,2,1)),F2,"")))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534F-2C0D-449C-8D83-4EDB24A2DF86}">
  <dimension ref="A1:W52"/>
  <sheetViews>
    <sheetView tabSelected="1" topLeftCell="A34" zoomScaleNormal="100" workbookViewId="0">
      <selection activeCell="C38" sqref="C38"/>
    </sheetView>
  </sheetViews>
  <sheetFormatPr defaultColWidth="11.42578125" defaultRowHeight="14.45"/>
  <cols>
    <col min="1" max="1" width="4.85546875" style="6" customWidth="1"/>
    <col min="2" max="2" width="53.85546875" customWidth="1"/>
    <col min="3" max="3" width="37.140625" customWidth="1"/>
    <col min="4" max="4" width="41.5703125" customWidth="1"/>
    <col min="5" max="5" width="19.42578125" style="6" customWidth="1"/>
    <col min="6" max="8" width="15.42578125" customWidth="1"/>
    <col min="9" max="10" width="20.28515625" style="6" customWidth="1"/>
    <col min="11" max="11" width="25.42578125" bestFit="1" customWidth="1"/>
    <col min="12" max="12" width="25" style="13" bestFit="1" customWidth="1"/>
    <col min="13" max="13" width="7.28515625" bestFit="1" customWidth="1"/>
    <col min="14" max="14" width="23.5703125" bestFit="1" customWidth="1"/>
    <col min="15" max="15" width="19.28515625" bestFit="1" customWidth="1"/>
    <col min="16" max="16" width="28.7109375" bestFit="1" customWidth="1"/>
    <col min="17" max="17" width="22.28515625" bestFit="1" customWidth="1"/>
    <col min="18" max="18" width="20.7109375" bestFit="1" customWidth="1"/>
    <col min="19" max="19" width="10.42578125" customWidth="1"/>
  </cols>
  <sheetData>
    <row r="1" spans="1:19" s="8" customFormat="1" ht="28.9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</row>
    <row r="2" spans="1:19" ht="29.25" customHeight="1">
      <c r="A2" s="16">
        <v>1</v>
      </c>
      <c r="B2" s="17" t="s">
        <v>12</v>
      </c>
      <c r="C2" s="17" t="s">
        <v>13</v>
      </c>
      <c r="D2" s="18" t="s">
        <v>14</v>
      </c>
      <c r="E2" s="19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" s="26">
        <v>46054</v>
      </c>
      <c r="G2" s="26">
        <f>+Seg_Proyectos_Tipo[[#This Row],[Fecha 50 %]]+2</f>
        <v>46056</v>
      </c>
      <c r="H2" s="26">
        <v>46065</v>
      </c>
      <c r="I2" s="27">
        <v>45705</v>
      </c>
      <c r="J2" s="16" t="s">
        <v>15</v>
      </c>
      <c r="K2" s="19" t="s">
        <v>16</v>
      </c>
      <c r="L2" s="32">
        <f>+IF(AND(ISNUMBER(H2),H2&gt;DATE(1900,2,1)),H2,IF(AND(ISNUMBER(G2),G2&gt;DATE(1900,2,1)),G2,IF(AND(ISNUMBER(F2),F2&gt;DATE(1900,2,1)),F2,"")))</f>
        <v>46065</v>
      </c>
      <c r="N2">
        <v>46054</v>
      </c>
      <c r="O2">
        <v>46056</v>
      </c>
      <c r="P2">
        <v>46065</v>
      </c>
      <c r="Q2">
        <v>45705</v>
      </c>
      <c r="S2">
        <v>46065</v>
      </c>
    </row>
    <row r="3" spans="1:19" ht="29.25" customHeight="1">
      <c r="A3" s="16">
        <v>1</v>
      </c>
      <c r="B3" s="17" t="s">
        <v>12</v>
      </c>
      <c r="C3" s="17" t="s">
        <v>17</v>
      </c>
      <c r="D3" s="18" t="s">
        <v>14</v>
      </c>
      <c r="E3" s="19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" s="26">
        <v>46054</v>
      </c>
      <c r="G3" s="26">
        <f>+Seg_Proyectos_Tipo[[#This Row],[Fecha 50 %]]+2</f>
        <v>46056</v>
      </c>
      <c r="H3" s="26">
        <v>46065</v>
      </c>
      <c r="I3" s="27">
        <v>45705</v>
      </c>
      <c r="J3" s="16" t="s">
        <v>15</v>
      </c>
      <c r="K3" s="19" t="s">
        <v>16</v>
      </c>
      <c r="L3" s="32">
        <f t="shared" ref="L3:L49" si="0">+IF(AND(ISNUMBER(H3),H3&gt;DATE(1900,2,1)),H3,IF(AND(ISNUMBER(G3),G3&gt;DATE(1900,2,1)),G3,IF(AND(ISNUMBER(F3),F3&gt;DATE(1900,2,1)),F3,"")))</f>
        <v>46065</v>
      </c>
      <c r="N3">
        <v>46054</v>
      </c>
      <c r="O3">
        <v>46056</v>
      </c>
      <c r="P3">
        <v>46065</v>
      </c>
      <c r="Q3">
        <v>45705</v>
      </c>
      <c r="S3">
        <v>46065</v>
      </c>
    </row>
    <row r="4" spans="1:19" ht="29.25" customHeight="1">
      <c r="A4" s="16">
        <v>2</v>
      </c>
      <c r="B4" s="17" t="s">
        <v>18</v>
      </c>
      <c r="C4" s="17" t="s">
        <v>13</v>
      </c>
      <c r="D4" s="18" t="s">
        <v>14</v>
      </c>
      <c r="E4" s="19">
        <v>1</v>
      </c>
      <c r="F4" s="26">
        <f ca="1">+Seg_Proyectos_Tipo[[#This Row],[Fecha 50 %]]+2</f>
        <v>46056</v>
      </c>
      <c r="G4" s="26">
        <f ca="1">+Seg_Proyectos_Tipo[[#This Row],[Fecha 50 %]]+2</f>
        <v>46056</v>
      </c>
      <c r="H4" s="26">
        <v>46065</v>
      </c>
      <c r="I4" s="27">
        <v>45705</v>
      </c>
      <c r="J4" s="16" t="s">
        <v>15</v>
      </c>
      <c r="K4" s="19" t="s">
        <v>16</v>
      </c>
      <c r="L4" s="32">
        <f t="shared" si="0"/>
        <v>46065</v>
      </c>
      <c r="N4">
        <v>46056</v>
      </c>
      <c r="O4">
        <v>46056</v>
      </c>
      <c r="P4">
        <v>46065</v>
      </c>
      <c r="Q4">
        <v>45705</v>
      </c>
      <c r="S4">
        <v>46065</v>
      </c>
    </row>
    <row r="5" spans="1:19" ht="29.25" customHeight="1">
      <c r="A5" s="16">
        <v>2</v>
      </c>
      <c r="B5" s="17" t="s">
        <v>18</v>
      </c>
      <c r="C5" s="17" t="s">
        <v>17</v>
      </c>
      <c r="D5" s="18" t="s">
        <v>14</v>
      </c>
      <c r="E5" s="19">
        <v>1</v>
      </c>
      <c r="F5" s="26">
        <f ca="1">+Seg_Proyectos_Tipo[[#This Row],[Fecha 50 %]]+2</f>
        <v>46056</v>
      </c>
      <c r="G5" s="26">
        <f ca="1">+Seg_Proyectos_Tipo[[#This Row],[Fecha 50 %]]+2</f>
        <v>46056</v>
      </c>
      <c r="H5" s="26">
        <v>46065</v>
      </c>
      <c r="I5" s="27">
        <v>45705</v>
      </c>
      <c r="J5" s="16" t="s">
        <v>15</v>
      </c>
      <c r="K5" s="19" t="s">
        <v>16</v>
      </c>
      <c r="L5" s="32">
        <f t="shared" si="0"/>
        <v>46065</v>
      </c>
      <c r="N5">
        <v>46056</v>
      </c>
      <c r="O5">
        <v>46056</v>
      </c>
      <c r="P5">
        <v>46065</v>
      </c>
      <c r="Q5">
        <v>45705</v>
      </c>
      <c r="S5">
        <v>46065</v>
      </c>
    </row>
    <row r="6" spans="1:19" ht="29.25" customHeight="1">
      <c r="A6" s="16">
        <v>3</v>
      </c>
      <c r="B6" s="17" t="s">
        <v>19</v>
      </c>
      <c r="C6" s="17" t="s">
        <v>13</v>
      </c>
      <c r="D6" s="18" t="s">
        <v>14</v>
      </c>
      <c r="E6" s="19">
        <v>1</v>
      </c>
      <c r="F6" s="26">
        <f ca="1">+Seg_Proyectos_Tipo[[#This Row],[Fecha 50 %]]+2</f>
        <v>46056</v>
      </c>
      <c r="G6" s="26">
        <f ca="1">+Seg_Proyectos_Tipo[[#This Row],[Fecha 50 %]]+2</f>
        <v>46056</v>
      </c>
      <c r="H6" s="26">
        <v>46065</v>
      </c>
      <c r="I6" s="27">
        <v>45705</v>
      </c>
      <c r="J6" s="16" t="s">
        <v>20</v>
      </c>
      <c r="K6" s="19" t="s">
        <v>16</v>
      </c>
      <c r="L6" s="32">
        <f t="shared" si="0"/>
        <v>46065</v>
      </c>
      <c r="N6">
        <v>46056</v>
      </c>
      <c r="O6">
        <v>46056</v>
      </c>
      <c r="P6">
        <v>46065</v>
      </c>
      <c r="Q6">
        <v>45705</v>
      </c>
      <c r="S6">
        <v>46065</v>
      </c>
    </row>
    <row r="7" spans="1:19" ht="29.25" customHeight="1">
      <c r="A7" s="16">
        <v>3</v>
      </c>
      <c r="B7" s="17" t="s">
        <v>19</v>
      </c>
      <c r="C7" s="17" t="s">
        <v>17</v>
      </c>
      <c r="D7" s="18" t="s">
        <v>14</v>
      </c>
      <c r="E7" s="19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7" s="26">
        <v>46056</v>
      </c>
      <c r="G7" s="26">
        <f>+Seg_Proyectos_Tipo[[#This Row],[Fecha 50 %]]+2</f>
        <v>46058</v>
      </c>
      <c r="H7" s="26">
        <v>46065</v>
      </c>
      <c r="I7" s="27">
        <v>45705</v>
      </c>
      <c r="J7" s="16" t="s">
        <v>20</v>
      </c>
      <c r="K7" s="19" t="s">
        <v>16</v>
      </c>
      <c r="L7" s="32">
        <f t="shared" si="0"/>
        <v>46065</v>
      </c>
      <c r="N7">
        <v>46056</v>
      </c>
      <c r="O7">
        <v>46058</v>
      </c>
      <c r="P7">
        <v>46065</v>
      </c>
      <c r="Q7">
        <v>45705</v>
      </c>
      <c r="S7">
        <v>46065</v>
      </c>
    </row>
    <row r="8" spans="1:19" ht="29.25" customHeight="1">
      <c r="A8" s="16">
        <v>4</v>
      </c>
      <c r="B8" s="17" t="s">
        <v>21</v>
      </c>
      <c r="C8" s="17" t="s">
        <v>13</v>
      </c>
      <c r="D8" s="18" t="s">
        <v>14</v>
      </c>
      <c r="E8" s="19">
        <v>1</v>
      </c>
      <c r="F8" s="26">
        <f ca="1">+Seg_Proyectos_Tipo[[#This Row],[Fecha 50 %]]+2</f>
        <v>46056</v>
      </c>
      <c r="G8" s="26">
        <v>46058</v>
      </c>
      <c r="H8" s="26">
        <v>46065</v>
      </c>
      <c r="I8" s="27">
        <v>45705</v>
      </c>
      <c r="J8" s="16" t="s">
        <v>20</v>
      </c>
      <c r="K8" s="19" t="s">
        <v>16</v>
      </c>
      <c r="L8" s="32">
        <f t="shared" si="0"/>
        <v>46065</v>
      </c>
      <c r="N8">
        <v>46056</v>
      </c>
      <c r="O8">
        <v>46058</v>
      </c>
      <c r="P8">
        <v>46065</v>
      </c>
      <c r="Q8">
        <v>45705</v>
      </c>
      <c r="S8">
        <v>46065</v>
      </c>
    </row>
    <row r="9" spans="1:19" ht="29.25" customHeight="1">
      <c r="A9" s="16">
        <v>4</v>
      </c>
      <c r="B9" s="17" t="s">
        <v>21</v>
      </c>
      <c r="C9" s="17" t="s">
        <v>17</v>
      </c>
      <c r="D9" s="18" t="s">
        <v>14</v>
      </c>
      <c r="E9" s="19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9" s="26">
        <v>46062</v>
      </c>
      <c r="G9" s="26">
        <v>46062</v>
      </c>
      <c r="H9" s="26">
        <v>46065</v>
      </c>
      <c r="I9" s="27">
        <v>45705</v>
      </c>
      <c r="J9" s="16" t="s">
        <v>20</v>
      </c>
      <c r="K9" s="19" t="s">
        <v>16</v>
      </c>
      <c r="L9" s="32">
        <f t="shared" si="0"/>
        <v>46065</v>
      </c>
      <c r="N9">
        <v>46062</v>
      </c>
      <c r="O9">
        <v>46062</v>
      </c>
      <c r="P9">
        <v>46065</v>
      </c>
      <c r="Q9">
        <v>45705</v>
      </c>
      <c r="S9">
        <v>46065</v>
      </c>
    </row>
    <row r="10" spans="1:19" ht="29.25" customHeight="1">
      <c r="A10" s="16">
        <v>5</v>
      </c>
      <c r="B10" s="17" t="s">
        <v>22</v>
      </c>
      <c r="C10" s="17" t="s">
        <v>13</v>
      </c>
      <c r="D10" s="18" t="s">
        <v>14</v>
      </c>
      <c r="E10" s="19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0" s="26">
        <v>46070</v>
      </c>
      <c r="G10" s="26">
        <v>46070</v>
      </c>
      <c r="H10" s="26">
        <v>46070</v>
      </c>
      <c r="I10" s="27">
        <v>45705</v>
      </c>
      <c r="J10" s="16" t="s">
        <v>23</v>
      </c>
      <c r="K10" s="19" t="s">
        <v>16</v>
      </c>
      <c r="L10" s="32">
        <f t="shared" si="0"/>
        <v>46070</v>
      </c>
      <c r="Q10">
        <v>45705</v>
      </c>
      <c r="S10" t="s">
        <v>24</v>
      </c>
    </row>
    <row r="11" spans="1:19" ht="29.25" customHeight="1">
      <c r="A11" s="16">
        <v>5</v>
      </c>
      <c r="B11" s="17" t="s">
        <v>22</v>
      </c>
      <c r="C11" s="17" t="s">
        <v>17</v>
      </c>
      <c r="D11" s="18" t="s">
        <v>14</v>
      </c>
      <c r="E11" s="19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1" s="26">
        <v>46064</v>
      </c>
      <c r="G11" s="26">
        <v>46064</v>
      </c>
      <c r="H11" s="26">
        <v>46064</v>
      </c>
      <c r="I11" s="27">
        <v>45705</v>
      </c>
      <c r="J11" s="16" t="s">
        <v>23</v>
      </c>
      <c r="K11" s="19" t="s">
        <v>16</v>
      </c>
      <c r="L11" s="32">
        <f t="shared" si="0"/>
        <v>46064</v>
      </c>
      <c r="N11">
        <v>46056</v>
      </c>
      <c r="O11">
        <v>46063</v>
      </c>
      <c r="Q11">
        <v>45705</v>
      </c>
      <c r="S11">
        <v>46063</v>
      </c>
    </row>
    <row r="12" spans="1:19" ht="29.25" customHeight="1">
      <c r="A12" s="20">
        <v>1</v>
      </c>
      <c r="B12" s="21" t="s">
        <v>12</v>
      </c>
      <c r="C12" s="21" t="s">
        <v>25</v>
      </c>
      <c r="D12" s="22" t="s">
        <v>26</v>
      </c>
      <c r="E12" s="2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2" s="28">
        <v>46072</v>
      </c>
      <c r="G12" s="28">
        <v>46072</v>
      </c>
      <c r="H12" s="28">
        <v>46072</v>
      </c>
      <c r="I12" s="29">
        <v>45705</v>
      </c>
      <c r="J12" s="24" t="s">
        <v>27</v>
      </c>
      <c r="K12" s="25" t="s">
        <v>28</v>
      </c>
      <c r="L12" s="32">
        <f t="shared" si="0"/>
        <v>46072</v>
      </c>
      <c r="Q12">
        <v>45705</v>
      </c>
      <c r="S12" t="s">
        <v>24</v>
      </c>
    </row>
    <row r="13" spans="1:19" ht="29.25" customHeight="1">
      <c r="A13" s="10">
        <v>1</v>
      </c>
      <c r="B13" s="9" t="s">
        <v>12</v>
      </c>
      <c r="C13" s="9" t="s">
        <v>29</v>
      </c>
      <c r="D13" s="7" t="s">
        <v>26</v>
      </c>
      <c r="E13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3" s="30">
        <v>46073</v>
      </c>
      <c r="G13" s="30">
        <v>46073</v>
      </c>
      <c r="H13" s="30">
        <v>46073</v>
      </c>
      <c r="I13" s="31">
        <v>45705</v>
      </c>
      <c r="J13" s="12" t="s">
        <v>27</v>
      </c>
      <c r="K13" s="11" t="s">
        <v>28</v>
      </c>
      <c r="L13" s="32">
        <f t="shared" si="0"/>
        <v>46073</v>
      </c>
      <c r="Q13">
        <v>45705</v>
      </c>
      <c r="S13" t="s">
        <v>24</v>
      </c>
    </row>
    <row r="14" spans="1:19" ht="29.25" customHeight="1">
      <c r="A14" s="10">
        <v>1</v>
      </c>
      <c r="B14" s="9" t="s">
        <v>12</v>
      </c>
      <c r="C14" s="9" t="s">
        <v>30</v>
      </c>
      <c r="D14" s="7" t="s">
        <v>26</v>
      </c>
      <c r="E14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4" s="30">
        <v>46064</v>
      </c>
      <c r="G14" s="30">
        <v>46064</v>
      </c>
      <c r="H14" s="30">
        <v>46071</v>
      </c>
      <c r="I14" s="31">
        <v>45705</v>
      </c>
      <c r="J14" s="12" t="s">
        <v>27</v>
      </c>
      <c r="K14" s="11" t="s">
        <v>28</v>
      </c>
      <c r="L14" s="32">
        <f t="shared" si="0"/>
        <v>46071</v>
      </c>
      <c r="N14">
        <v>46064</v>
      </c>
      <c r="Q14">
        <v>45705</v>
      </c>
      <c r="S14">
        <v>46064</v>
      </c>
    </row>
    <row r="15" spans="1:19" ht="29.25" customHeight="1">
      <c r="A15" s="10">
        <v>2</v>
      </c>
      <c r="B15" s="9" t="s">
        <v>18</v>
      </c>
      <c r="C15" s="9" t="s">
        <v>25</v>
      </c>
      <c r="D15" s="7" t="s">
        <v>26</v>
      </c>
      <c r="E15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5" s="30">
        <v>46072</v>
      </c>
      <c r="G15" s="30">
        <v>46072</v>
      </c>
      <c r="H15" s="30">
        <v>46072</v>
      </c>
      <c r="I15" s="31">
        <v>45705</v>
      </c>
      <c r="J15" s="12" t="s">
        <v>27</v>
      </c>
      <c r="K15" s="11" t="s">
        <v>28</v>
      </c>
      <c r="L15" s="32">
        <f t="shared" si="0"/>
        <v>46072</v>
      </c>
      <c r="Q15">
        <v>45705</v>
      </c>
      <c r="S15" t="s">
        <v>24</v>
      </c>
    </row>
    <row r="16" spans="1:19" ht="29.25" customHeight="1">
      <c r="A16" s="10">
        <v>2</v>
      </c>
      <c r="B16" s="9" t="s">
        <v>18</v>
      </c>
      <c r="C16" s="9" t="s">
        <v>29</v>
      </c>
      <c r="D16" s="7" t="s">
        <v>26</v>
      </c>
      <c r="E16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6" s="30">
        <v>46073</v>
      </c>
      <c r="G16" s="30">
        <v>46073</v>
      </c>
      <c r="H16" s="30">
        <v>46073</v>
      </c>
      <c r="I16" s="31">
        <v>45705</v>
      </c>
      <c r="J16" s="12" t="s">
        <v>27</v>
      </c>
      <c r="K16" s="11" t="s">
        <v>28</v>
      </c>
      <c r="L16" s="32">
        <f t="shared" si="0"/>
        <v>46073</v>
      </c>
      <c r="Q16">
        <v>45705</v>
      </c>
      <c r="S16" t="s">
        <v>24</v>
      </c>
    </row>
    <row r="17" spans="1:19" ht="29.25" customHeight="1">
      <c r="A17" s="10">
        <v>2</v>
      </c>
      <c r="B17" s="9" t="s">
        <v>18</v>
      </c>
      <c r="C17" s="9" t="s">
        <v>30</v>
      </c>
      <c r="D17" s="7" t="s">
        <v>26</v>
      </c>
      <c r="E17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7" s="30">
        <v>46058</v>
      </c>
      <c r="G17" s="30">
        <v>46071</v>
      </c>
      <c r="H17" s="30">
        <v>46071</v>
      </c>
      <c r="I17" s="31">
        <v>45705</v>
      </c>
      <c r="J17" s="12" t="s">
        <v>27</v>
      </c>
      <c r="K17" s="11" t="s">
        <v>28</v>
      </c>
      <c r="L17" s="32">
        <f t="shared" si="0"/>
        <v>46071</v>
      </c>
      <c r="N17">
        <v>46058</v>
      </c>
      <c r="Q17">
        <v>45705</v>
      </c>
      <c r="S17">
        <v>46058</v>
      </c>
    </row>
    <row r="18" spans="1:19" ht="29.25" customHeight="1">
      <c r="A18" s="10">
        <v>3</v>
      </c>
      <c r="B18" s="9" t="s">
        <v>19</v>
      </c>
      <c r="C18" s="9" t="s">
        <v>25</v>
      </c>
      <c r="D18" s="7" t="s">
        <v>26</v>
      </c>
      <c r="E18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8" s="30">
        <v>46070</v>
      </c>
      <c r="G18" s="30">
        <v>46070</v>
      </c>
      <c r="H18" s="30">
        <v>46070</v>
      </c>
      <c r="I18" s="31">
        <v>45705</v>
      </c>
      <c r="J18" s="12" t="s">
        <v>31</v>
      </c>
      <c r="K18" s="11" t="s">
        <v>28</v>
      </c>
      <c r="L18" s="32">
        <f t="shared" si="0"/>
        <v>46070</v>
      </c>
      <c r="Q18">
        <v>45705</v>
      </c>
      <c r="S18" t="s">
        <v>24</v>
      </c>
    </row>
    <row r="19" spans="1:19" ht="29.25" customHeight="1">
      <c r="A19" s="10">
        <v>3</v>
      </c>
      <c r="B19" s="9" t="s">
        <v>19</v>
      </c>
      <c r="C19" s="9" t="s">
        <v>29</v>
      </c>
      <c r="D19" s="7" t="s">
        <v>26</v>
      </c>
      <c r="E19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9" s="30">
        <v>46073</v>
      </c>
      <c r="G19" s="30">
        <v>46073</v>
      </c>
      <c r="H19" s="30">
        <v>46073</v>
      </c>
      <c r="I19" s="31">
        <v>45705</v>
      </c>
      <c r="J19" s="12" t="s">
        <v>31</v>
      </c>
      <c r="K19" s="11" t="s">
        <v>28</v>
      </c>
      <c r="L19" s="32">
        <f t="shared" si="0"/>
        <v>46073</v>
      </c>
      <c r="Q19">
        <v>45705</v>
      </c>
      <c r="S19" t="s">
        <v>24</v>
      </c>
    </row>
    <row r="20" spans="1:19" ht="29.25" customHeight="1">
      <c r="A20" s="10">
        <v>3</v>
      </c>
      <c r="B20" s="9" t="s">
        <v>19</v>
      </c>
      <c r="C20" s="9" t="s">
        <v>30</v>
      </c>
      <c r="D20" s="7" t="s">
        <v>26</v>
      </c>
      <c r="E20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0" s="30">
        <v>46068</v>
      </c>
      <c r="G20" s="30">
        <v>46070</v>
      </c>
      <c r="H20" s="30">
        <v>46070</v>
      </c>
      <c r="I20" s="31">
        <v>45705</v>
      </c>
      <c r="J20" s="12" t="s">
        <v>31</v>
      </c>
      <c r="K20" s="11" t="s">
        <v>28</v>
      </c>
      <c r="L20" s="32">
        <f t="shared" si="0"/>
        <v>46070</v>
      </c>
      <c r="N20">
        <v>46068</v>
      </c>
      <c r="Q20">
        <v>45705</v>
      </c>
      <c r="S20">
        <v>46068</v>
      </c>
    </row>
    <row r="21" spans="1:19" ht="29.25" customHeight="1">
      <c r="A21" s="10">
        <v>4</v>
      </c>
      <c r="B21" s="9" t="s">
        <v>21</v>
      </c>
      <c r="C21" s="9" t="s">
        <v>25</v>
      </c>
      <c r="D21" s="7" t="s">
        <v>26</v>
      </c>
      <c r="E21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1" s="30">
        <v>46072</v>
      </c>
      <c r="G21" s="30">
        <v>46072</v>
      </c>
      <c r="H21" s="30">
        <v>46072</v>
      </c>
      <c r="I21" s="31">
        <v>45705</v>
      </c>
      <c r="J21" s="12" t="s">
        <v>31</v>
      </c>
      <c r="K21" s="11" t="s">
        <v>28</v>
      </c>
      <c r="L21" s="32">
        <f t="shared" si="0"/>
        <v>46072</v>
      </c>
      <c r="Q21">
        <v>45705</v>
      </c>
      <c r="S21" t="s">
        <v>24</v>
      </c>
    </row>
    <row r="22" spans="1:19" ht="29.25" customHeight="1">
      <c r="A22" s="10">
        <v>4</v>
      </c>
      <c r="B22" s="9" t="s">
        <v>21</v>
      </c>
      <c r="C22" s="9" t="s">
        <v>29</v>
      </c>
      <c r="D22" s="7" t="s">
        <v>26</v>
      </c>
      <c r="E22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2" s="30">
        <v>46073</v>
      </c>
      <c r="G22" s="30">
        <v>46073</v>
      </c>
      <c r="H22" s="30">
        <v>46073</v>
      </c>
      <c r="I22" s="31">
        <v>45705</v>
      </c>
      <c r="J22" s="12" t="s">
        <v>31</v>
      </c>
      <c r="K22" s="11" t="s">
        <v>28</v>
      </c>
      <c r="L22" s="32">
        <f t="shared" si="0"/>
        <v>46073</v>
      </c>
      <c r="Q22">
        <v>45705</v>
      </c>
      <c r="S22" t="s">
        <v>24</v>
      </c>
    </row>
    <row r="23" spans="1:19" ht="29.25" customHeight="1">
      <c r="A23" s="10">
        <v>4</v>
      </c>
      <c r="B23" s="9" t="s">
        <v>21</v>
      </c>
      <c r="C23" s="9" t="s">
        <v>30</v>
      </c>
      <c r="D23" s="7" t="s">
        <v>26</v>
      </c>
      <c r="E23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3" s="30">
        <v>46073</v>
      </c>
      <c r="G23" s="30">
        <v>46076</v>
      </c>
      <c r="H23" s="30">
        <v>46076</v>
      </c>
      <c r="I23" s="31">
        <v>45705</v>
      </c>
      <c r="J23" s="12" t="s">
        <v>31</v>
      </c>
      <c r="K23" s="11" t="s">
        <v>28</v>
      </c>
      <c r="L23" s="32">
        <f t="shared" si="0"/>
        <v>46076</v>
      </c>
      <c r="Q23">
        <v>45705</v>
      </c>
      <c r="S23" t="s">
        <v>24</v>
      </c>
    </row>
    <row r="24" spans="1:19" ht="29.25" customHeight="1">
      <c r="A24" s="10">
        <v>5</v>
      </c>
      <c r="B24" s="9" t="s">
        <v>22</v>
      </c>
      <c r="C24" s="9" t="s">
        <v>25</v>
      </c>
      <c r="D24" s="7" t="s">
        <v>26</v>
      </c>
      <c r="E24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4" s="30">
        <v>46072</v>
      </c>
      <c r="G24" s="30">
        <v>46072</v>
      </c>
      <c r="H24" s="30">
        <v>46072</v>
      </c>
      <c r="I24" s="31">
        <v>45705</v>
      </c>
      <c r="J24" s="12" t="s">
        <v>32</v>
      </c>
      <c r="K24" s="11" t="s">
        <v>28</v>
      </c>
      <c r="L24" s="32">
        <f t="shared" si="0"/>
        <v>46072</v>
      </c>
      <c r="Q24">
        <v>45705</v>
      </c>
      <c r="S24" t="s">
        <v>24</v>
      </c>
    </row>
    <row r="25" spans="1:19" ht="29.25" customHeight="1">
      <c r="A25" s="10">
        <v>5</v>
      </c>
      <c r="B25" s="9" t="s">
        <v>22</v>
      </c>
      <c r="C25" s="9" t="s">
        <v>29</v>
      </c>
      <c r="D25" s="7" t="s">
        <v>26</v>
      </c>
      <c r="E25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5" s="30">
        <v>46072</v>
      </c>
      <c r="G25" s="30">
        <v>46072</v>
      </c>
      <c r="H25" s="30">
        <v>46072</v>
      </c>
      <c r="I25" s="31">
        <v>45705</v>
      </c>
      <c r="J25" s="12" t="s">
        <v>32</v>
      </c>
      <c r="K25" s="11" t="s">
        <v>28</v>
      </c>
      <c r="L25" s="32">
        <f t="shared" si="0"/>
        <v>46072</v>
      </c>
      <c r="Q25">
        <v>45705</v>
      </c>
      <c r="S25" t="s">
        <v>24</v>
      </c>
    </row>
    <row r="26" spans="1:19" ht="29.25" customHeight="1">
      <c r="A26" s="10">
        <v>5</v>
      </c>
      <c r="B26" s="9" t="s">
        <v>22</v>
      </c>
      <c r="C26" s="9" t="s">
        <v>30</v>
      </c>
      <c r="D26" s="7" t="s">
        <v>26</v>
      </c>
      <c r="E26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6" s="30">
        <v>46065</v>
      </c>
      <c r="G26" s="30">
        <v>46070</v>
      </c>
      <c r="H26" s="30">
        <v>46071</v>
      </c>
      <c r="I26" s="31">
        <v>45705</v>
      </c>
      <c r="J26" s="12" t="s">
        <v>32</v>
      </c>
      <c r="K26" s="11" t="s">
        <v>28</v>
      </c>
      <c r="L26" s="32">
        <f t="shared" si="0"/>
        <v>46071</v>
      </c>
      <c r="N26">
        <v>46065</v>
      </c>
      <c r="O26">
        <v>46070</v>
      </c>
      <c r="Q26">
        <v>45705</v>
      </c>
      <c r="S26">
        <v>46070</v>
      </c>
    </row>
    <row r="27" spans="1:19" ht="29.25" customHeight="1">
      <c r="A27" s="10">
        <v>1</v>
      </c>
      <c r="B27" s="9" t="s">
        <v>12</v>
      </c>
      <c r="C27" s="9" t="s">
        <v>33</v>
      </c>
      <c r="D27" s="7" t="s">
        <v>34</v>
      </c>
      <c r="E27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7" s="30">
        <v>46066</v>
      </c>
      <c r="G27" s="30">
        <v>46066</v>
      </c>
      <c r="H27" s="30">
        <v>46066</v>
      </c>
      <c r="I27" s="31">
        <v>45705</v>
      </c>
      <c r="J27" s="12" t="s">
        <v>35</v>
      </c>
      <c r="K27" s="11" t="s">
        <v>36</v>
      </c>
      <c r="L27" s="32">
        <f t="shared" si="0"/>
        <v>46066</v>
      </c>
      <c r="N27">
        <v>46066</v>
      </c>
      <c r="Q27">
        <v>45705</v>
      </c>
      <c r="S27">
        <v>46066</v>
      </c>
    </row>
    <row r="28" spans="1:19" ht="29.25" customHeight="1">
      <c r="A28" s="10">
        <v>1</v>
      </c>
      <c r="B28" s="9" t="s">
        <v>12</v>
      </c>
      <c r="C28" s="9" t="s">
        <v>37</v>
      </c>
      <c r="D28" s="7" t="s">
        <v>34</v>
      </c>
      <c r="E28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8" s="30">
        <v>46070</v>
      </c>
      <c r="G28" s="30">
        <v>46070</v>
      </c>
      <c r="H28" s="30">
        <v>46070</v>
      </c>
      <c r="I28" s="31">
        <v>45705</v>
      </c>
      <c r="J28" s="12" t="s">
        <v>35</v>
      </c>
      <c r="K28" s="11" t="s">
        <v>36</v>
      </c>
      <c r="L28" s="32">
        <f t="shared" si="0"/>
        <v>46070</v>
      </c>
      <c r="N28">
        <v>46070</v>
      </c>
      <c r="O28">
        <v>46070</v>
      </c>
      <c r="Q28">
        <v>45705</v>
      </c>
      <c r="S28">
        <v>46070</v>
      </c>
    </row>
    <row r="29" spans="1:19" ht="29.25" customHeight="1">
      <c r="A29" s="10">
        <v>2</v>
      </c>
      <c r="B29" s="9" t="s">
        <v>18</v>
      </c>
      <c r="C29" s="9" t="s">
        <v>33</v>
      </c>
      <c r="D29" s="7" t="s">
        <v>34</v>
      </c>
      <c r="E29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9" s="30">
        <v>46066</v>
      </c>
      <c r="G29" s="30">
        <v>46070</v>
      </c>
      <c r="H29" s="30">
        <v>46070</v>
      </c>
      <c r="I29" s="31">
        <v>45705</v>
      </c>
      <c r="J29" s="12" t="s">
        <v>35</v>
      </c>
      <c r="K29" s="11" t="s">
        <v>36</v>
      </c>
      <c r="L29" s="32">
        <f t="shared" si="0"/>
        <v>46070</v>
      </c>
      <c r="N29">
        <v>46066</v>
      </c>
      <c r="Q29">
        <v>45705</v>
      </c>
      <c r="S29">
        <v>46066</v>
      </c>
    </row>
    <row r="30" spans="1:19" ht="29.25" customHeight="1">
      <c r="A30" s="10">
        <v>2</v>
      </c>
      <c r="B30" s="9" t="s">
        <v>18</v>
      </c>
      <c r="C30" s="9" t="s">
        <v>37</v>
      </c>
      <c r="D30" s="7" t="s">
        <v>34</v>
      </c>
      <c r="E30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0" s="30">
        <v>46070</v>
      </c>
      <c r="G30" s="30">
        <v>46070</v>
      </c>
      <c r="H30" s="30">
        <v>46070</v>
      </c>
      <c r="I30" s="31">
        <v>45705</v>
      </c>
      <c r="J30" s="12" t="s">
        <v>35</v>
      </c>
      <c r="K30" s="11" t="s">
        <v>36</v>
      </c>
      <c r="L30" s="32">
        <f t="shared" si="0"/>
        <v>46070</v>
      </c>
      <c r="N30">
        <v>46070</v>
      </c>
      <c r="O30">
        <v>46070</v>
      </c>
      <c r="Q30">
        <v>45705</v>
      </c>
      <c r="S30">
        <v>46070</v>
      </c>
    </row>
    <row r="31" spans="1:19" ht="29.25" customHeight="1">
      <c r="A31" s="10">
        <v>3</v>
      </c>
      <c r="B31" s="9" t="s">
        <v>19</v>
      </c>
      <c r="C31" s="9" t="s">
        <v>33</v>
      </c>
      <c r="D31" s="7" t="s">
        <v>34</v>
      </c>
      <c r="E31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1" s="30">
        <v>46070</v>
      </c>
      <c r="G31" s="30">
        <v>46070</v>
      </c>
      <c r="H31" s="30">
        <v>46071</v>
      </c>
      <c r="I31" s="31">
        <v>45705</v>
      </c>
      <c r="J31" s="12" t="s">
        <v>38</v>
      </c>
      <c r="K31" s="11" t="s">
        <v>36</v>
      </c>
      <c r="L31" s="32">
        <f t="shared" si="0"/>
        <v>46071</v>
      </c>
      <c r="N31">
        <v>46070</v>
      </c>
      <c r="O31">
        <v>46070</v>
      </c>
      <c r="Q31">
        <v>45705</v>
      </c>
      <c r="S31">
        <v>46070</v>
      </c>
    </row>
    <row r="32" spans="1:19" ht="29.25" customHeight="1">
      <c r="A32" s="10">
        <v>3</v>
      </c>
      <c r="B32" s="9" t="s">
        <v>19</v>
      </c>
      <c r="C32" s="9" t="s">
        <v>37</v>
      </c>
      <c r="D32" s="7" t="s">
        <v>34</v>
      </c>
      <c r="E32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2" s="30">
        <v>46066</v>
      </c>
      <c r="G32" s="30">
        <v>46066</v>
      </c>
      <c r="H32" s="30">
        <v>46071</v>
      </c>
      <c r="I32" s="31">
        <v>45705</v>
      </c>
      <c r="J32" s="12" t="s">
        <v>38</v>
      </c>
      <c r="K32" s="11" t="s">
        <v>36</v>
      </c>
      <c r="L32" s="32">
        <f t="shared" si="0"/>
        <v>46071</v>
      </c>
      <c r="N32">
        <v>46066</v>
      </c>
      <c r="O32">
        <v>46066</v>
      </c>
      <c r="Q32">
        <v>45705</v>
      </c>
      <c r="S32">
        <v>46066</v>
      </c>
    </row>
    <row r="33" spans="1:23" ht="29.25" customHeight="1">
      <c r="A33" s="10">
        <v>4</v>
      </c>
      <c r="B33" s="9" t="s">
        <v>21</v>
      </c>
      <c r="C33" s="9" t="s">
        <v>33</v>
      </c>
      <c r="D33" s="7" t="s">
        <v>34</v>
      </c>
      <c r="E33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3" s="30">
        <v>46069</v>
      </c>
      <c r="G33" s="30">
        <v>46069</v>
      </c>
      <c r="H33" s="30">
        <v>46071</v>
      </c>
      <c r="I33" s="31">
        <v>45705</v>
      </c>
      <c r="J33" s="12" t="s">
        <v>38</v>
      </c>
      <c r="K33" s="11" t="s">
        <v>36</v>
      </c>
      <c r="L33" s="32">
        <f t="shared" si="0"/>
        <v>46071</v>
      </c>
      <c r="N33">
        <v>46069</v>
      </c>
      <c r="O33">
        <v>46069</v>
      </c>
      <c r="Q33">
        <v>45705</v>
      </c>
      <c r="S33">
        <v>46069</v>
      </c>
    </row>
    <row r="34" spans="1:23" ht="29.25" customHeight="1">
      <c r="A34" s="10">
        <v>4</v>
      </c>
      <c r="B34" s="9" t="s">
        <v>21</v>
      </c>
      <c r="C34" s="9" t="s">
        <v>37</v>
      </c>
      <c r="D34" s="7" t="s">
        <v>34</v>
      </c>
      <c r="E34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4" s="30">
        <v>46066</v>
      </c>
      <c r="G34" s="30">
        <v>46066</v>
      </c>
      <c r="H34" s="30">
        <v>46071</v>
      </c>
      <c r="I34" s="31">
        <v>45705</v>
      </c>
      <c r="J34" s="12" t="s">
        <v>38</v>
      </c>
      <c r="K34" s="11" t="s">
        <v>36</v>
      </c>
      <c r="L34" s="32">
        <f t="shared" si="0"/>
        <v>46071</v>
      </c>
      <c r="N34">
        <v>46066</v>
      </c>
      <c r="O34">
        <v>46066</v>
      </c>
      <c r="Q34">
        <v>45705</v>
      </c>
      <c r="S34">
        <v>46066</v>
      </c>
    </row>
    <row r="35" spans="1:23" ht="29.25" customHeight="1">
      <c r="A35" s="10">
        <v>5</v>
      </c>
      <c r="B35" s="9" t="s">
        <v>22</v>
      </c>
      <c r="C35" s="9" t="s">
        <v>33</v>
      </c>
      <c r="D35" s="7" t="s">
        <v>34</v>
      </c>
      <c r="E35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5" s="30">
        <v>46063</v>
      </c>
      <c r="G35" s="30">
        <v>46070</v>
      </c>
      <c r="H35" s="30">
        <v>46070</v>
      </c>
      <c r="I35" s="31">
        <v>45705</v>
      </c>
      <c r="J35" s="12" t="s">
        <v>39</v>
      </c>
      <c r="K35" s="11" t="s">
        <v>36</v>
      </c>
      <c r="L35" s="32">
        <f t="shared" si="0"/>
        <v>46070</v>
      </c>
      <c r="N35">
        <v>46063</v>
      </c>
      <c r="Q35">
        <v>45705</v>
      </c>
      <c r="S35">
        <v>46063</v>
      </c>
    </row>
    <row r="36" spans="1:23" ht="29.25" customHeight="1">
      <c r="A36" s="10">
        <v>5</v>
      </c>
      <c r="B36" s="9" t="s">
        <v>22</v>
      </c>
      <c r="C36" s="9" t="s">
        <v>37</v>
      </c>
      <c r="D36" s="7" t="s">
        <v>34</v>
      </c>
      <c r="E36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6" s="30">
        <v>44978</v>
      </c>
      <c r="G36" s="30">
        <v>44978</v>
      </c>
      <c r="H36" s="30">
        <v>44978</v>
      </c>
      <c r="I36" s="31">
        <v>45705</v>
      </c>
      <c r="J36" s="12" t="s">
        <v>39</v>
      </c>
      <c r="K36" s="11" t="s">
        <v>36</v>
      </c>
      <c r="L36" s="32">
        <f t="shared" si="0"/>
        <v>44978</v>
      </c>
      <c r="Q36">
        <v>45705</v>
      </c>
      <c r="S36" t="s">
        <v>24</v>
      </c>
    </row>
    <row r="37" spans="1:23" ht="29.25" customHeight="1">
      <c r="A37" s="10">
        <v>1</v>
      </c>
      <c r="B37" s="9" t="s">
        <v>12</v>
      </c>
      <c r="C37" s="9" t="s">
        <v>40</v>
      </c>
      <c r="D37" s="7" t="s">
        <v>41</v>
      </c>
      <c r="E37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7" s="30">
        <v>46076</v>
      </c>
      <c r="G37" s="30">
        <v>46076</v>
      </c>
      <c r="H37" s="30">
        <v>46076</v>
      </c>
      <c r="I37" s="31">
        <v>45705</v>
      </c>
      <c r="J37" s="12" t="s">
        <v>42</v>
      </c>
      <c r="K37" s="12" t="s">
        <v>42</v>
      </c>
      <c r="L37" s="32">
        <f t="shared" si="0"/>
        <v>46076</v>
      </c>
      <c r="Q37">
        <v>45705</v>
      </c>
      <c r="S37" t="s">
        <v>24</v>
      </c>
    </row>
    <row r="38" spans="1:23" ht="29.25" customHeight="1">
      <c r="A38" s="10">
        <v>1</v>
      </c>
      <c r="B38" s="9" t="s">
        <v>12</v>
      </c>
      <c r="C38" s="9" t="s">
        <v>43</v>
      </c>
      <c r="D38" s="7" t="s">
        <v>41</v>
      </c>
      <c r="E38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8" s="30">
        <v>46077</v>
      </c>
      <c r="G38" s="30">
        <v>46077</v>
      </c>
      <c r="H38" s="30">
        <v>46077</v>
      </c>
      <c r="I38" s="31">
        <v>45705</v>
      </c>
      <c r="J38" s="12" t="s">
        <v>42</v>
      </c>
      <c r="K38" s="12" t="s">
        <v>42</v>
      </c>
      <c r="L38" s="32">
        <f t="shared" si="0"/>
        <v>46077</v>
      </c>
      <c r="Q38">
        <v>45705</v>
      </c>
      <c r="S38" t="s">
        <v>24</v>
      </c>
    </row>
    <row r="39" spans="1:23" ht="29.25" customHeight="1">
      <c r="A39" s="10">
        <v>2</v>
      </c>
      <c r="B39" s="9" t="s">
        <v>18</v>
      </c>
      <c r="C39" s="9" t="s">
        <v>40</v>
      </c>
      <c r="D39" s="7" t="s">
        <v>41</v>
      </c>
      <c r="E39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9" s="30">
        <v>46077</v>
      </c>
      <c r="G39" s="30">
        <v>46077</v>
      </c>
      <c r="H39" s="30">
        <v>46077</v>
      </c>
      <c r="I39" s="31">
        <v>45707</v>
      </c>
      <c r="J39" s="12" t="s">
        <v>42</v>
      </c>
      <c r="K39" s="12" t="s">
        <v>42</v>
      </c>
      <c r="L39" s="32">
        <f t="shared" si="0"/>
        <v>46077</v>
      </c>
      <c r="Q39">
        <v>45707</v>
      </c>
      <c r="S39" t="s">
        <v>24</v>
      </c>
    </row>
    <row r="40" spans="1:23" ht="29.25" customHeight="1">
      <c r="A40" s="10">
        <v>2</v>
      </c>
      <c r="B40" s="9" t="s">
        <v>18</v>
      </c>
      <c r="C40" s="9" t="s">
        <v>43</v>
      </c>
      <c r="D40" s="7" t="s">
        <v>41</v>
      </c>
      <c r="E40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0" s="30">
        <v>46077</v>
      </c>
      <c r="G40" s="30">
        <v>46077</v>
      </c>
      <c r="H40" s="30">
        <v>46077</v>
      </c>
      <c r="I40" s="31">
        <v>45707</v>
      </c>
      <c r="J40" s="12" t="s">
        <v>42</v>
      </c>
      <c r="K40" s="12" t="s">
        <v>42</v>
      </c>
      <c r="L40" s="32">
        <f t="shared" si="0"/>
        <v>46077</v>
      </c>
      <c r="Q40">
        <v>45707</v>
      </c>
      <c r="S40" t="s">
        <v>24</v>
      </c>
    </row>
    <row r="41" spans="1:23" ht="29.25" customHeight="1">
      <c r="A41" s="10">
        <v>3</v>
      </c>
      <c r="B41" s="9" t="s">
        <v>19</v>
      </c>
      <c r="C41" s="9" t="s">
        <v>40</v>
      </c>
      <c r="D41" s="7" t="s">
        <v>41</v>
      </c>
      <c r="E41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1" s="30">
        <v>46078</v>
      </c>
      <c r="G41" s="30">
        <v>46078</v>
      </c>
      <c r="H41" s="30">
        <v>46078</v>
      </c>
      <c r="I41" s="31">
        <v>45707</v>
      </c>
      <c r="J41" s="12" t="s">
        <v>42</v>
      </c>
      <c r="K41" s="12" t="s">
        <v>42</v>
      </c>
      <c r="L41" s="32">
        <f t="shared" si="0"/>
        <v>46078</v>
      </c>
      <c r="N41">
        <v>46056</v>
      </c>
      <c r="P41">
        <v>46069</v>
      </c>
      <c r="Q41">
        <v>45707</v>
      </c>
      <c r="S41">
        <v>46069</v>
      </c>
    </row>
    <row r="42" spans="1:23" ht="29.25" customHeight="1">
      <c r="A42" s="10">
        <v>3</v>
      </c>
      <c r="B42" s="9" t="s">
        <v>19</v>
      </c>
      <c r="C42" s="9" t="s">
        <v>43</v>
      </c>
      <c r="D42" s="7" t="s">
        <v>41</v>
      </c>
      <c r="E42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2" s="30">
        <v>46078</v>
      </c>
      <c r="G42" s="30">
        <v>46078</v>
      </c>
      <c r="H42" s="30">
        <v>46078</v>
      </c>
      <c r="I42" s="31">
        <v>45707</v>
      </c>
      <c r="J42" s="12" t="s">
        <v>42</v>
      </c>
      <c r="K42" s="12" t="s">
        <v>42</v>
      </c>
      <c r="L42" s="32">
        <f t="shared" si="0"/>
        <v>46078</v>
      </c>
      <c r="Q42">
        <v>45707</v>
      </c>
      <c r="S42" t="s">
        <v>24</v>
      </c>
    </row>
    <row r="43" spans="1:23" ht="29.25" customHeight="1">
      <c r="A43" s="10">
        <v>4</v>
      </c>
      <c r="B43" s="9" t="s">
        <v>21</v>
      </c>
      <c r="C43" s="9" t="s">
        <v>40</v>
      </c>
      <c r="D43" s="7" t="s">
        <v>41</v>
      </c>
      <c r="E43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3" s="30"/>
      <c r="G43" s="30"/>
      <c r="H43" s="30"/>
      <c r="I43" s="31">
        <v>45707</v>
      </c>
      <c r="J43" s="12" t="s">
        <v>42</v>
      </c>
      <c r="K43" s="12" t="s">
        <v>42</v>
      </c>
      <c r="L43" s="32" t="str">
        <f t="shared" si="0"/>
        <v/>
      </c>
      <c r="P43">
        <v>46056</v>
      </c>
      <c r="Q43">
        <v>45707</v>
      </c>
      <c r="S43">
        <v>46056</v>
      </c>
    </row>
    <row r="44" spans="1:23" ht="29.25" customHeight="1">
      <c r="A44" s="10">
        <v>4</v>
      </c>
      <c r="B44" s="9" t="s">
        <v>21</v>
      </c>
      <c r="C44" s="9" t="s">
        <v>43</v>
      </c>
      <c r="D44" s="7" t="s">
        <v>41</v>
      </c>
      <c r="E44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4" s="30">
        <v>46077</v>
      </c>
      <c r="G44" s="30">
        <v>46077</v>
      </c>
      <c r="H44" s="30">
        <v>46077</v>
      </c>
      <c r="I44" s="31">
        <v>45707</v>
      </c>
      <c r="J44" s="12" t="s">
        <v>42</v>
      </c>
      <c r="K44" s="12" t="s">
        <v>42</v>
      </c>
      <c r="L44" s="32">
        <f t="shared" si="0"/>
        <v>46077</v>
      </c>
      <c r="Q44">
        <v>45707</v>
      </c>
      <c r="S44" t="s">
        <v>24</v>
      </c>
      <c r="T44" t="s">
        <v>44</v>
      </c>
      <c r="U44" t="s">
        <v>45</v>
      </c>
      <c r="V44" t="s">
        <v>46</v>
      </c>
      <c r="W44" t="s">
        <v>47</v>
      </c>
    </row>
    <row r="45" spans="1:23" ht="29.25" customHeight="1">
      <c r="A45" s="10">
        <v>5</v>
      </c>
      <c r="B45" s="9" t="s">
        <v>22</v>
      </c>
      <c r="C45" s="9" t="s">
        <v>40</v>
      </c>
      <c r="D45" s="7" t="s">
        <v>41</v>
      </c>
      <c r="E45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5" s="30"/>
      <c r="G45" s="30"/>
      <c r="H45" s="30"/>
      <c r="I45" s="31">
        <v>45707</v>
      </c>
      <c r="J45" s="12" t="s">
        <v>42</v>
      </c>
      <c r="K45" s="12" t="s">
        <v>42</v>
      </c>
      <c r="L45" s="32" t="str">
        <f t="shared" si="0"/>
        <v/>
      </c>
      <c r="N45">
        <v>46058</v>
      </c>
      <c r="O45">
        <v>46060</v>
      </c>
      <c r="P45">
        <v>46062</v>
      </c>
      <c r="Q45">
        <v>45707</v>
      </c>
      <c r="S45">
        <v>46062</v>
      </c>
      <c r="T45" t="s">
        <v>44</v>
      </c>
      <c r="U45" t="s">
        <v>45</v>
      </c>
      <c r="V45" t="s">
        <v>46</v>
      </c>
      <c r="W45" t="s">
        <v>47</v>
      </c>
    </row>
    <row r="46" spans="1:23" ht="29.25" customHeight="1">
      <c r="A46" s="10">
        <v>5</v>
      </c>
      <c r="B46" s="9" t="s">
        <v>22</v>
      </c>
      <c r="C46" s="9" t="s">
        <v>43</v>
      </c>
      <c r="D46" s="7" t="s">
        <v>41</v>
      </c>
      <c r="E46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6" s="30">
        <v>46077</v>
      </c>
      <c r="G46" s="30">
        <v>46077</v>
      </c>
      <c r="H46" s="30">
        <v>46077</v>
      </c>
      <c r="I46" s="31">
        <v>45707</v>
      </c>
      <c r="J46" s="12" t="s">
        <v>42</v>
      </c>
      <c r="K46" s="12" t="s">
        <v>42</v>
      </c>
      <c r="L46" s="32">
        <f t="shared" si="0"/>
        <v>46077</v>
      </c>
      <c r="Q46">
        <v>45707</v>
      </c>
      <c r="S46" t="s">
        <v>24</v>
      </c>
      <c r="T46" t="s">
        <v>44</v>
      </c>
      <c r="U46" t="s">
        <v>45</v>
      </c>
      <c r="V46" t="s">
        <v>46</v>
      </c>
      <c r="W46" t="s">
        <v>47</v>
      </c>
    </row>
    <row r="47" spans="1:23" ht="29.25" customHeight="1">
      <c r="A47" s="10">
        <v>1</v>
      </c>
      <c r="B47" s="9" t="s">
        <v>12</v>
      </c>
      <c r="C47" s="9" t="s">
        <v>48</v>
      </c>
      <c r="D47" s="7" t="s">
        <v>49</v>
      </c>
      <c r="E47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7" s="30">
        <v>46073</v>
      </c>
      <c r="G47" s="30">
        <v>46073</v>
      </c>
      <c r="H47" s="30">
        <v>46073</v>
      </c>
      <c r="I47" s="31">
        <v>45705</v>
      </c>
      <c r="J47" s="12" t="s">
        <v>42</v>
      </c>
      <c r="K47" s="12" t="s">
        <v>42</v>
      </c>
      <c r="L47" s="32">
        <f t="shared" si="0"/>
        <v>46073</v>
      </c>
      <c r="Q47">
        <v>45705</v>
      </c>
      <c r="S47" t="s">
        <v>24</v>
      </c>
      <c r="T47" t="s">
        <v>44</v>
      </c>
      <c r="U47" t="s">
        <v>45</v>
      </c>
      <c r="V47" t="s">
        <v>46</v>
      </c>
      <c r="W47" t="s">
        <v>47</v>
      </c>
    </row>
    <row r="48" spans="1:23" ht="29.25" customHeight="1">
      <c r="A48" s="10">
        <v>2</v>
      </c>
      <c r="B48" s="9" t="s">
        <v>18</v>
      </c>
      <c r="C48" s="9" t="s">
        <v>48</v>
      </c>
      <c r="D48" s="7" t="s">
        <v>49</v>
      </c>
      <c r="E48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8" s="30">
        <v>46071</v>
      </c>
      <c r="G48" s="30">
        <v>46071</v>
      </c>
      <c r="H48" s="30">
        <v>46073</v>
      </c>
      <c r="I48" s="31">
        <v>45707</v>
      </c>
      <c r="J48" s="12" t="s">
        <v>42</v>
      </c>
      <c r="K48" s="12" t="s">
        <v>42</v>
      </c>
      <c r="L48" s="32">
        <f t="shared" si="0"/>
        <v>46073</v>
      </c>
      <c r="N48">
        <v>46071</v>
      </c>
      <c r="O48">
        <v>46071</v>
      </c>
      <c r="Q48">
        <v>45707</v>
      </c>
      <c r="S48">
        <v>46071</v>
      </c>
      <c r="T48" t="s">
        <v>44</v>
      </c>
      <c r="U48" t="s">
        <v>45</v>
      </c>
      <c r="V48" t="s">
        <v>46</v>
      </c>
      <c r="W48" t="s">
        <v>47</v>
      </c>
    </row>
    <row r="49" spans="1:23" ht="29.25" customHeight="1">
      <c r="A49" s="10">
        <v>3</v>
      </c>
      <c r="B49" s="9" t="s">
        <v>19</v>
      </c>
      <c r="C49" s="9" t="s">
        <v>48</v>
      </c>
      <c r="D49" s="7" t="s">
        <v>49</v>
      </c>
      <c r="E49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9" s="30">
        <v>46071</v>
      </c>
      <c r="G49" s="30">
        <v>46071</v>
      </c>
      <c r="H49" s="30">
        <v>46073</v>
      </c>
      <c r="I49" s="31">
        <v>45707</v>
      </c>
      <c r="J49" s="12" t="s">
        <v>42</v>
      </c>
      <c r="K49" s="12" t="s">
        <v>42</v>
      </c>
      <c r="L49" s="32">
        <f t="shared" si="0"/>
        <v>46073</v>
      </c>
      <c r="N49">
        <v>46071</v>
      </c>
      <c r="O49">
        <v>46071</v>
      </c>
      <c r="Q49">
        <v>45707</v>
      </c>
      <c r="S49">
        <v>46071</v>
      </c>
      <c r="T49" t="s">
        <v>44</v>
      </c>
      <c r="U49" t="s">
        <v>45</v>
      </c>
      <c r="V49" t="s">
        <v>46</v>
      </c>
      <c r="W49" t="s">
        <v>47</v>
      </c>
    </row>
    <row r="50" spans="1:23" ht="29.25" customHeight="1">
      <c r="A50" s="10">
        <v>4</v>
      </c>
      <c r="B50" s="9" t="s">
        <v>21</v>
      </c>
      <c r="C50" s="9" t="s">
        <v>48</v>
      </c>
      <c r="D50" s="7" t="s">
        <v>49</v>
      </c>
      <c r="E50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50" s="30">
        <v>46073</v>
      </c>
      <c r="G50" s="30">
        <v>46073</v>
      </c>
      <c r="H50" s="30">
        <v>46073</v>
      </c>
      <c r="I50" s="31">
        <v>45707</v>
      </c>
      <c r="J50" s="12" t="s">
        <v>42</v>
      </c>
      <c r="K50" s="12" t="s">
        <v>42</v>
      </c>
      <c r="L50" s="32">
        <f t="shared" ref="L50:L52" si="1">+IF(AND(ISNUMBER(H50),H50&gt;DATE(1900,2,1)),H50,IF(AND(ISNUMBER(G50),G50&gt;DATE(1900,2,1)),G50,IF(AND(ISNUMBER(F50),F50&gt;DATE(1900,2,1)),F50,"")))</f>
        <v>46073</v>
      </c>
      <c r="Q50">
        <v>45707</v>
      </c>
      <c r="S50" t="s">
        <v>24</v>
      </c>
      <c r="T50" t="s">
        <v>44</v>
      </c>
      <c r="U50" t="s">
        <v>45</v>
      </c>
      <c r="V50" t="s">
        <v>46</v>
      </c>
      <c r="W50" t="s">
        <v>47</v>
      </c>
    </row>
    <row r="51" spans="1:23" ht="29.25" customHeight="1">
      <c r="A51" s="10">
        <v>5</v>
      </c>
      <c r="B51" s="9" t="s">
        <v>22</v>
      </c>
      <c r="C51" s="9" t="s">
        <v>48</v>
      </c>
      <c r="D51" s="7" t="s">
        <v>49</v>
      </c>
      <c r="E51" s="3">
        <v>1</v>
      </c>
      <c r="F51" s="30">
        <v>46058</v>
      </c>
      <c r="G51" s="30">
        <v>46065</v>
      </c>
      <c r="H51" s="30">
        <v>46071</v>
      </c>
      <c r="I51" s="31">
        <v>45707</v>
      </c>
      <c r="J51" s="12" t="s">
        <v>42</v>
      </c>
      <c r="K51" s="12" t="s">
        <v>42</v>
      </c>
      <c r="L51" s="32">
        <f t="shared" si="1"/>
        <v>46071</v>
      </c>
      <c r="N51">
        <v>46058</v>
      </c>
      <c r="O51">
        <v>46065</v>
      </c>
      <c r="P51">
        <v>46071</v>
      </c>
      <c r="Q51">
        <v>45707</v>
      </c>
      <c r="S51">
        <v>46071</v>
      </c>
    </row>
    <row r="52" spans="1:23" ht="21" customHeight="1">
      <c r="A52" s="16"/>
      <c r="B52" s="17"/>
      <c r="C52" s="17"/>
      <c r="D52" s="19"/>
      <c r="E52" s="19"/>
      <c r="F52" s="33"/>
      <c r="G52" s="34"/>
      <c r="H52" s="34"/>
      <c r="I52" s="19"/>
      <c r="J52" s="16"/>
      <c r="K52" s="19"/>
      <c r="L52" s="35" t="str">
        <f t="shared" si="1"/>
        <v/>
      </c>
      <c r="N52">
        <v>46056</v>
      </c>
      <c r="S52">
        <v>46056</v>
      </c>
    </row>
  </sheetData>
  <pageMargins left="0.7" right="0.7" top="0.75" bottom="0.75" header="0.3" footer="0.3"/>
  <pageSetup paperSize="9" orientation="portrait" r:id="rId1"/>
  <ignoredErrors>
    <ignoredError sqref="G32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C06B-8C28-4306-AA4C-D382610F1611}">
  <dimension ref="A3:F17"/>
  <sheetViews>
    <sheetView workbookViewId="0">
      <selection activeCell="B4" sqref="B4:B17"/>
    </sheetView>
  </sheetViews>
  <sheetFormatPr defaultColWidth="11.42578125" defaultRowHeight="14.45"/>
  <cols>
    <col min="1" max="1" width="37.28515625" bestFit="1" customWidth="1"/>
    <col min="2" max="2" width="56" bestFit="1" customWidth="1"/>
    <col min="3" max="3" width="13.28515625" bestFit="1" customWidth="1"/>
    <col min="4" max="4" width="10.140625" bestFit="1" customWidth="1"/>
    <col min="5" max="5" width="17.42578125" bestFit="1" customWidth="1"/>
  </cols>
  <sheetData>
    <row r="3" spans="1:6">
      <c r="A3" s="2"/>
      <c r="B3" s="2" t="s">
        <v>50</v>
      </c>
      <c r="C3" s="4" t="s">
        <v>10</v>
      </c>
      <c r="D3" s="4" t="s">
        <v>51</v>
      </c>
      <c r="E3" s="4" t="s">
        <v>52</v>
      </c>
      <c r="F3" s="1"/>
    </row>
    <row r="4" spans="1:6">
      <c r="A4" s="36" t="s">
        <v>53</v>
      </c>
      <c r="B4" s="3" t="s">
        <v>13</v>
      </c>
      <c r="C4" s="5"/>
      <c r="D4" s="5"/>
      <c r="E4" s="5"/>
    </row>
    <row r="5" spans="1:6">
      <c r="A5" s="36"/>
      <c r="B5" s="3" t="s">
        <v>17</v>
      </c>
      <c r="C5" s="5"/>
      <c r="D5" s="5"/>
      <c r="E5" s="5"/>
    </row>
    <row r="6" spans="1:6">
      <c r="A6" s="36"/>
      <c r="B6" s="3" t="s">
        <v>54</v>
      </c>
      <c r="C6" s="5"/>
      <c r="D6" s="5"/>
      <c r="E6" s="5"/>
    </row>
    <row r="7" spans="1:6">
      <c r="A7" s="36" t="s">
        <v>55</v>
      </c>
      <c r="B7" s="3" t="s">
        <v>25</v>
      </c>
      <c r="C7" s="5"/>
      <c r="D7" s="5"/>
      <c r="E7" s="5"/>
    </row>
    <row r="8" spans="1:6">
      <c r="A8" s="36"/>
      <c r="B8" s="3" t="s">
        <v>29</v>
      </c>
      <c r="C8" s="5"/>
      <c r="D8" s="5"/>
      <c r="E8" s="5"/>
    </row>
    <row r="9" spans="1:6">
      <c r="A9" s="36"/>
      <c r="B9" s="3" t="s">
        <v>30</v>
      </c>
      <c r="C9" s="5"/>
      <c r="D9" s="5"/>
      <c r="E9" s="5"/>
    </row>
    <row r="10" spans="1:6">
      <c r="A10" s="36" t="s">
        <v>56</v>
      </c>
      <c r="B10" s="3" t="s">
        <v>33</v>
      </c>
      <c r="C10" s="5"/>
      <c r="D10" s="5"/>
      <c r="E10" s="5"/>
    </row>
    <row r="11" spans="1:6">
      <c r="A11" s="36"/>
      <c r="B11" s="3" t="s">
        <v>57</v>
      </c>
      <c r="C11" s="5"/>
      <c r="D11" s="5"/>
      <c r="E11" s="5"/>
    </row>
    <row r="12" spans="1:6">
      <c r="A12" s="36" t="s">
        <v>58</v>
      </c>
      <c r="B12" s="3" t="s">
        <v>59</v>
      </c>
      <c r="C12" s="5"/>
      <c r="D12" s="5"/>
      <c r="E12" s="5"/>
    </row>
    <row r="13" spans="1:6">
      <c r="A13" s="36"/>
      <c r="B13" s="3" t="s">
        <v>60</v>
      </c>
      <c r="C13" s="5"/>
      <c r="D13" s="5"/>
      <c r="E13" s="5"/>
    </row>
    <row r="14" spans="1:6">
      <c r="A14" s="36" t="s">
        <v>61</v>
      </c>
      <c r="B14" s="3" t="s">
        <v>40</v>
      </c>
      <c r="C14" s="5"/>
      <c r="D14" s="5"/>
      <c r="E14" s="5"/>
    </row>
    <row r="15" spans="1:6">
      <c r="A15" s="36"/>
      <c r="B15" s="3" t="s">
        <v>62</v>
      </c>
      <c r="C15" s="5"/>
      <c r="D15" s="5"/>
      <c r="E15" s="5"/>
    </row>
    <row r="16" spans="1:6">
      <c r="A16" s="36"/>
      <c r="B16" s="3" t="s">
        <v>63</v>
      </c>
      <c r="C16" s="5"/>
      <c r="D16" s="5"/>
      <c r="E16" s="5"/>
    </row>
    <row r="17" spans="1:5">
      <c r="A17" s="36"/>
      <c r="B17" s="3" t="s">
        <v>64</v>
      </c>
      <c r="C17" s="5"/>
      <c r="D17" s="5"/>
      <c r="E17" s="5"/>
    </row>
  </sheetData>
  <mergeCells count="5">
    <mergeCell ref="A4:A6"/>
    <mergeCell ref="A7:A9"/>
    <mergeCell ref="A10:A11"/>
    <mergeCell ref="A12:A13"/>
    <mergeCell ref="A14:A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154a8c-a0d7-469f-a565-81a8dee811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9EC2A4CBCD7C4D95E7C32E44BE2AFE" ma:contentTypeVersion="11" ma:contentTypeDescription="Create a new document." ma:contentTypeScope="" ma:versionID="0395f90c593ea1a580452366e8ba0320">
  <xsd:schema xmlns:xsd="http://www.w3.org/2001/XMLSchema" xmlns:xs="http://www.w3.org/2001/XMLSchema" xmlns:p="http://schemas.microsoft.com/office/2006/metadata/properties" xmlns:ns3="8f154a8c-a0d7-469f-a565-81a8dee811c9" targetNamespace="http://schemas.microsoft.com/office/2006/metadata/properties" ma:root="true" ma:fieldsID="4f0abcea501e1de3eee851a4c8298e86" ns3:_="">
    <xsd:import namespace="8f154a8c-a0d7-469f-a565-81a8dee811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54a8c-a0d7-469f-a565-81a8dee811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E095F6-BF66-41A9-AB03-40D964033B2A}"/>
</file>

<file path=customXml/itemProps2.xml><?xml version="1.0" encoding="utf-8"?>
<ds:datastoreItem xmlns:ds="http://schemas.openxmlformats.org/officeDocument/2006/customXml" ds:itemID="{A89F9449-5121-46A4-8510-26BE340E38AC}"/>
</file>

<file path=customXml/itemProps3.xml><?xml version="1.0" encoding="utf-8"?>
<ds:datastoreItem xmlns:ds="http://schemas.openxmlformats.org/officeDocument/2006/customXml" ds:itemID="{0787518D-69BD-4E45-AC35-D1E5AC391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LEONARDO DIAZ VELA</dc:creator>
  <cp:keywords/>
  <dc:description/>
  <cp:lastModifiedBy>JUAN GABRIEL GONZALEZ LEON</cp:lastModifiedBy>
  <cp:revision/>
  <dcterms:created xsi:type="dcterms:W3CDTF">2026-02-06T15:06:21Z</dcterms:created>
  <dcterms:modified xsi:type="dcterms:W3CDTF">2026-04-08T22:06:22Z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0x0101006A9EC2A4CBCD7C4D95E7C32E44BE2AFE</vt:lpwstr>
  </property>
</Properties>
</file>